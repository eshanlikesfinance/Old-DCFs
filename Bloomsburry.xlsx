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han/Downloads/"/>
    </mc:Choice>
  </mc:AlternateContent>
  <xr:revisionPtr revIDLastSave="0" documentId="13_ncr:1_{B0AA1670-4842-D44E-B8D1-1CA0F15BFD49}" xr6:coauthVersionLast="47" xr6:coauthVersionMax="47" xr10:uidLastSave="{00000000-0000-0000-0000-000000000000}"/>
  <bookViews>
    <workbookView xWindow="20" yWindow="740" windowWidth="29400" windowHeight="17120" xr2:uid="{75A8D818-C277-5A4E-94B3-EC7A3A56D3EE}"/>
  </bookViews>
  <sheets>
    <sheet name="DCF" sheetId="1" r:id="rId1"/>
    <sheet name="Sheet1" sheetId="2" r:id="rId2"/>
  </sheets>
  <calcPr calcId="191029" iterate="1" iterateCount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  <c r="C16" i="1"/>
  <c r="G13" i="1"/>
  <c r="I8" i="1"/>
  <c r="H13" i="1"/>
  <c r="H14" i="1"/>
  <c r="G14" i="1"/>
  <c r="G11" i="1"/>
  <c r="AL10" i="1"/>
  <c r="AL26" i="1"/>
  <c r="AL25" i="1"/>
  <c r="J8" i="1" l="1"/>
  <c r="K8" i="1" s="1"/>
  <c r="L8" i="1" s="1"/>
  <c r="M8" i="1" s="1"/>
  <c r="I15" i="1"/>
  <c r="I17" i="1"/>
  <c r="I10" i="1" l="1"/>
  <c r="J15" i="1"/>
  <c r="I12" i="1" l="1"/>
  <c r="I14" i="1" s="1"/>
  <c r="I20" i="1" s="1"/>
  <c r="J17" i="1"/>
  <c r="J10" i="1"/>
  <c r="C22" i="1"/>
  <c r="J12" i="1" l="1"/>
  <c r="J14" i="1" s="1"/>
  <c r="J20" i="1" s="1"/>
  <c r="K15" i="1"/>
  <c r="K10" i="1"/>
  <c r="K17" i="1"/>
  <c r="H18" i="1"/>
  <c r="G18" i="1"/>
  <c r="G20" i="1"/>
  <c r="C14" i="1"/>
  <c r="H9" i="1"/>
  <c r="K12" i="1" l="1"/>
  <c r="K14" i="1" s="1"/>
  <c r="K20" i="1" s="1"/>
  <c r="M10" i="1"/>
  <c r="L17" i="1"/>
  <c r="L15" i="1"/>
  <c r="L10" i="1"/>
  <c r="C27" i="1"/>
  <c r="C28" i="1" s="1"/>
  <c r="B6" i="1" s="1"/>
  <c r="M12" i="1" l="1"/>
  <c r="M14" i="1" s="1"/>
  <c r="L12" i="1"/>
  <c r="L14" i="1" s="1"/>
  <c r="L20" i="1" s="1"/>
  <c r="M15" i="1"/>
  <c r="M17" i="1"/>
  <c r="J21" i="1"/>
  <c r="M20" i="1" l="1"/>
  <c r="K21" i="1"/>
  <c r="L21" i="1" l="1"/>
  <c r="M21" i="1" l="1"/>
  <c r="G23" i="1" l="1"/>
  <c r="G24" i="1" s="1"/>
  <c r="I21" i="1" l="1"/>
  <c r="G25" i="1" s="1" a="1"/>
  <c r="G28" i="1" s="1"/>
  <c r="J24" i="1" s="1"/>
  <c r="F36" i="1" l="1"/>
  <c r="J26" i="1"/>
  <c r="H11" i="1" l="1"/>
  <c r="H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Eshan Satti</author>
    <author>ESHAN SATTI</author>
  </authors>
  <commentList>
    <comment ref="B6" authorId="0" shapeId="0" xr:uid="{2D5A58DA-11B9-C641-BA9E-461B5D43616E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Hardcoded
</t>
        </r>
      </text>
    </comment>
    <comment ref="I9" authorId="0" shapeId="0" xr:uid="{044C7820-302B-234E-8D17-1160F912C130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 don't buy Moat, hence why going with CAGR for proj. revenue growth</t>
        </r>
      </text>
    </comment>
    <comment ref="I11" authorId="0" shapeId="0" xr:uid="{4932F52A-F1B3-264E-B732-A7D597C60620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Immediate 40-60bps growth from HashiCorp &amp; Confluent
</t>
        </r>
      </text>
    </comment>
    <comment ref="M11" authorId="0" shapeId="0" xr:uid="{C470E832-2ADC-3B4A-A47E-F8902B1DBA6E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Doable if software acquistions go well and redhat continues high margins
</t>
        </r>
      </text>
    </comment>
    <comment ref="A14" authorId="1" shapeId="0" xr:uid="{FB6860B1-EC92-1D4C-95DF-ADBB735A55F5}">
      <text>
        <r>
          <rPr>
            <b/>
            <sz val="9"/>
            <color rgb="FF000000"/>
            <rFont val="Tahoma"/>
            <family val="2"/>
          </rPr>
          <t>ESHAN SATTI: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use blume readjustments evaluate forward beta vs sum 5yr stuff
</t>
        </r>
      </text>
    </comment>
    <comment ref="E14" authorId="0" shapeId="0" xr:uid="{9665D48E-15B1-FC48-A92B-32747B4E2459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EBIAT interchangable w nopat incase sum1 gon press</t>
        </r>
      </text>
    </comment>
    <comment ref="A16" authorId="0" shapeId="0" xr:uid="{760B6FE7-83D2-B441-A601-23BFFE046FB7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EMR = Expected Market Return
</t>
        </r>
      </text>
    </comment>
    <comment ref="E19" authorId="0" shapeId="0" xr:uid="{1FA6371B-6012-214D-A45E-0A688E33F08E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*note: ΔNWC not calculated accounting for cash or debt so many vary per source</t>
        </r>
      </text>
    </comment>
    <comment ref="H19" authorId="0" shapeId="0" xr:uid="{A722AB4A-E3AE-6E47-A528-826FAC6390D3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 a result of huge AR spike
</t>
        </r>
      </text>
    </comment>
    <comment ref="M19" authorId="0" shapeId="0" xr:uid="{5668F88C-D61F-FF4B-96F2-DFFA220376B1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chose increasing since saas usually upfront for year so defered rev. builds up creating pos nwc
</t>
        </r>
      </text>
    </comment>
    <comment ref="A20" authorId="1" shapeId="0" xr:uid="{E2244AD5-4683-BA46-A03D-E2D9A5CEB7C1}">
      <text>
        <r>
          <rPr>
            <b/>
            <sz val="9"/>
            <color rgb="FF000000"/>
            <rFont val="Tahoma"/>
            <family val="2"/>
          </rPr>
          <t>ESHAN SATTI: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marginal taxx
</t>
        </r>
        <r>
          <rPr>
            <sz val="9"/>
            <color rgb="FF000000"/>
            <rFont val="Tahoma"/>
            <family val="2"/>
          </rPr>
          <t xml:space="preserve">r8
</t>
        </r>
      </text>
    </comment>
    <comment ref="A22" authorId="0" shapeId="0" xr:uid="{2B7E8FFD-07C8-5049-8B3C-17358BA18CC2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COD is Cost of Debt
</t>
        </r>
      </text>
    </comment>
    <comment ref="E26" authorId="0" shapeId="0" xr:uid="{6E978440-2C48-D647-8A36-96CA0BDEB2C0}">
      <text>
        <r>
          <rPr>
            <b/>
            <sz val="10"/>
            <color rgb="FF000000"/>
            <rFont val="Tahoma"/>
            <family val="2"/>
          </rPr>
          <t>Eshan Satti: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OC=Operating Cash and so substract 3% of revenue from cash as business can't fundamentally operate w/ no cash in hand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<sst xmlns="http://schemas.openxmlformats.org/spreadsheetml/2006/main" count="59" uniqueCount="55">
  <si>
    <t>Simplified 2 Stage DCF w/ sensitivity analysis</t>
  </si>
  <si>
    <t>2024A</t>
  </si>
  <si>
    <t>2025A</t>
  </si>
  <si>
    <t>2027E</t>
  </si>
  <si>
    <t>2028E</t>
  </si>
  <si>
    <t>2029E</t>
  </si>
  <si>
    <t>2030E</t>
  </si>
  <si>
    <t>All Figs MM</t>
  </si>
  <si>
    <t>WACC</t>
  </si>
  <si>
    <t>Revenue</t>
  </si>
  <si>
    <t>Stage 1 Growth</t>
  </si>
  <si>
    <t>% Grwth</t>
  </si>
  <si>
    <t>EBIT</t>
  </si>
  <si>
    <t>%margin</t>
  </si>
  <si>
    <t>Taxes</t>
  </si>
  <si>
    <t>β</t>
  </si>
  <si>
    <t>EBIAT</t>
  </si>
  <si>
    <t xml:space="preserve">RfR </t>
  </si>
  <si>
    <t>D&amp;A</t>
  </si>
  <si>
    <t xml:space="preserve">EMR </t>
  </si>
  <si>
    <t>%rev</t>
  </si>
  <si>
    <t xml:space="preserve">COE </t>
  </si>
  <si>
    <t>Capex</t>
  </si>
  <si>
    <t>Blended Interest</t>
  </si>
  <si>
    <t>∆NWC</t>
  </si>
  <si>
    <t>MTR</t>
  </si>
  <si>
    <t>UFCF</t>
  </si>
  <si>
    <t>PV of FCF</t>
  </si>
  <si>
    <t>COD</t>
  </si>
  <si>
    <t>TV</t>
  </si>
  <si>
    <t>Shares</t>
  </si>
  <si>
    <t>Equity</t>
  </si>
  <si>
    <t>PV of TV</t>
  </si>
  <si>
    <t>Proj. Value</t>
  </si>
  <si>
    <t>Debt</t>
  </si>
  <si>
    <t>EV</t>
  </si>
  <si>
    <t>Current Price</t>
  </si>
  <si>
    <t>Cash=OC</t>
  </si>
  <si>
    <t>Upside</t>
  </si>
  <si>
    <t>COE</t>
  </si>
  <si>
    <t>(Debt)</t>
  </si>
  <si>
    <t>Equity Value</t>
  </si>
  <si>
    <t>Discount Rate</t>
  </si>
  <si>
    <t>TGR</t>
  </si>
  <si>
    <t xml:space="preserve"> </t>
  </si>
  <si>
    <t>tax%</t>
  </si>
  <si>
    <t>CAPM</t>
  </si>
  <si>
    <t>Cost of Debt</t>
  </si>
  <si>
    <t>Sensitivity Analysis DCF</t>
  </si>
  <si>
    <t>Tax Rate</t>
  </si>
  <si>
    <t>Blume used here</t>
  </si>
  <si>
    <t>2026E</t>
  </si>
  <si>
    <t>Template by Eshan</t>
  </si>
  <si>
    <t>2026 not fiscal year, using ttm</t>
  </si>
  <si>
    <t>Bloomsbury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</si>
</sst>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#,##0_);\(#,##0\);\-\-_);@_)"/>
    <numFmt numFmtId="166" formatCode="0.0"/>
    <numFmt numFmtId="167" formatCode="&quot;$&quot;#,##0.00"/>
    <numFmt numFmtId="168" formatCode="_-[$£-809]* #,##0.00_-;\-[$£-809]* #,##0.00_-;_-[$£-809]* &quot;-&quot;??_-;_-@_-"/>
    <numFmt numFmtId="169" formatCode="0.0\x"/>
    <numFmt numFmtId="170" formatCode="_([$$-409]* #,##0.00_);_([$$-409]* \(#,##0.00\);_([$$-409]* &quot;-&quot;??_);_(@_)"/>
    <numFmt numFmtId="171" formatCode="0.00000%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7"/>
      <name val="Aptos Narrow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sz val="11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rgb="FFE01400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1" applyNumberFormat="0" applyAlignment="0" applyProtection="0"/>
  </cellStyleXfs>
  <cellXfs count="131">
    <xf numFmtId="0" fontId="0" fillId="0" borderId="0" xfId="0"/>
    <xf numFmtId="0" fontId="0" fillId="6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0" borderId="0" xfId="0" applyProtection="1">
      <protection locked="0"/>
    </xf>
    <xf numFmtId="168" fontId="0" fillId="6" borderId="0" xfId="0" applyNumberFormat="1" applyFill="1" applyProtection="1">
      <protection locked="0"/>
    </xf>
    <xf numFmtId="0" fontId="0" fillId="6" borderId="24" xfId="0" applyFill="1" applyBorder="1" applyProtection="1">
      <protection locked="0"/>
    </xf>
    <xf numFmtId="0" fontId="0" fillId="9" borderId="2" xfId="0" applyFill="1" applyBorder="1" applyProtection="1">
      <protection locked="0"/>
    </xf>
    <xf numFmtId="0" fontId="0" fillId="10" borderId="2" xfId="0" applyFill="1" applyBorder="1" applyProtection="1">
      <protection locked="0"/>
    </xf>
    <xf numFmtId="0" fontId="0" fillId="11" borderId="2" xfId="0" applyFill="1" applyBorder="1" applyProtection="1">
      <protection locked="0"/>
    </xf>
    <xf numFmtId="0" fontId="0" fillId="6" borderId="25" xfId="0" applyFill="1" applyBorder="1" applyProtection="1">
      <protection locked="0"/>
    </xf>
    <xf numFmtId="164" fontId="0" fillId="6" borderId="22" xfId="0" applyNumberFormat="1" applyFill="1" applyBorder="1" applyProtection="1">
      <protection locked="0"/>
    </xf>
    <xf numFmtId="0" fontId="0" fillId="9" borderId="3" xfId="0" applyFill="1" applyBorder="1" applyProtection="1">
      <protection locked="0"/>
    </xf>
    <xf numFmtId="0" fontId="0" fillId="7" borderId="3" xfId="0" applyFill="1" applyBorder="1" applyProtection="1">
      <protection locked="0"/>
    </xf>
    <xf numFmtId="0" fontId="0" fillId="6" borderId="26" xfId="0" applyFill="1" applyBorder="1" applyProtection="1">
      <protection locked="0"/>
    </xf>
    <xf numFmtId="164" fontId="0" fillId="6" borderId="23" xfId="0" applyNumberFormat="1" applyFill="1" applyBorder="1" applyProtection="1">
      <protection locked="0"/>
    </xf>
    <xf numFmtId="164" fontId="0" fillId="6" borderId="0" xfId="0" applyNumberFormat="1" applyFill="1" applyProtection="1">
      <protection locked="0"/>
    </xf>
    <xf numFmtId="0" fontId="0" fillId="6" borderId="4" xfId="0" applyFill="1" applyBorder="1" applyProtection="1">
      <protection locked="0"/>
    </xf>
    <xf numFmtId="4" fontId="11" fillId="6" borderId="4" xfId="0" applyNumberFormat="1" applyFont="1" applyFill="1" applyBorder="1" applyProtection="1">
      <protection locked="0"/>
    </xf>
    <xf numFmtId="2" fontId="0" fillId="6" borderId="4" xfId="0" applyNumberFormat="1" applyFill="1" applyBorder="1" applyProtection="1">
      <protection locked="0"/>
    </xf>
    <xf numFmtId="10" fontId="0" fillId="0" borderId="0" xfId="0" applyNumberFormat="1" applyProtection="1">
      <protection locked="0"/>
    </xf>
    <xf numFmtId="9" fontId="0" fillId="6" borderId="0" xfId="0" applyNumberFormat="1" applyFill="1" applyProtection="1">
      <protection locked="0"/>
    </xf>
    <xf numFmtId="0" fontId="4" fillId="6" borderId="0" xfId="0" applyFont="1" applyFill="1" applyProtection="1">
      <protection locked="0"/>
    </xf>
    <xf numFmtId="10" fontId="4" fillId="6" borderId="0" xfId="0" applyNumberFormat="1" applyFont="1" applyFill="1" applyProtection="1">
      <protection locked="0"/>
    </xf>
    <xf numFmtId="164" fontId="2" fillId="6" borderId="0" xfId="0" applyNumberFormat="1" applyFont="1" applyFill="1" applyProtection="1">
      <protection locked="0"/>
    </xf>
    <xf numFmtId="8" fontId="0" fillId="6" borderId="0" xfId="0" applyNumberFormat="1" applyFill="1" applyProtection="1">
      <protection locked="0"/>
    </xf>
    <xf numFmtId="2" fontId="0" fillId="0" borderId="0" xfId="0" applyNumberFormat="1" applyProtection="1">
      <protection locked="0"/>
    </xf>
    <xf numFmtId="2" fontId="0" fillId="6" borderId="0" xfId="0" applyNumberFormat="1" applyFill="1" applyProtection="1">
      <protection locked="0"/>
    </xf>
    <xf numFmtId="164" fontId="4" fillId="6" borderId="0" xfId="0" applyNumberFormat="1" applyFont="1" applyFill="1" applyProtection="1">
      <protection locked="0"/>
    </xf>
    <xf numFmtId="165" fontId="5" fillId="6" borderId="5" xfId="0" applyNumberFormat="1" applyFont="1" applyFill="1" applyBorder="1" applyAlignment="1" applyProtection="1">
      <alignment horizontal="right"/>
      <protection locked="0"/>
    </xf>
    <xf numFmtId="165" fontId="5" fillId="6" borderId="2" xfId="0" applyNumberFormat="1" applyFont="1" applyFill="1" applyBorder="1" applyAlignment="1" applyProtection="1">
      <alignment horizontal="right"/>
      <protection locked="0"/>
    </xf>
    <xf numFmtId="165" fontId="5" fillId="6" borderId="6" xfId="0" applyNumberFormat="1" applyFont="1" applyFill="1" applyBorder="1" applyAlignment="1" applyProtection="1">
      <alignment horizontal="right"/>
      <protection locked="0"/>
    </xf>
    <xf numFmtId="165" fontId="5" fillId="6" borderId="7" xfId="0" applyNumberFormat="1" applyFont="1" applyFill="1" applyBorder="1" applyAlignment="1" applyProtection="1">
      <alignment horizontal="right"/>
      <protection locked="0"/>
    </xf>
    <xf numFmtId="165" fontId="5" fillId="6" borderId="0" xfId="0" applyNumberFormat="1" applyFont="1" applyFill="1" applyAlignment="1" applyProtection="1">
      <alignment horizontal="right"/>
      <protection locked="0"/>
    </xf>
    <xf numFmtId="2" fontId="5" fillId="6" borderId="8" xfId="0" applyNumberFormat="1" applyFont="1" applyFill="1" applyBorder="1" applyAlignment="1" applyProtection="1">
      <alignment horizontal="right"/>
      <protection locked="0"/>
    </xf>
    <xf numFmtId="0" fontId="6" fillId="6" borderId="7" xfId="0" applyFont="1" applyFill="1" applyBorder="1" applyProtection="1">
      <protection locked="0"/>
    </xf>
    <xf numFmtId="2" fontId="6" fillId="6" borderId="8" xfId="0" applyNumberFormat="1" applyFont="1" applyFill="1" applyBorder="1" applyProtection="1">
      <protection locked="0"/>
    </xf>
    <xf numFmtId="0" fontId="11" fillId="0" borderId="0" xfId="0" applyFont="1" applyProtection="1">
      <protection locked="0"/>
    </xf>
    <xf numFmtId="0" fontId="0" fillId="6" borderId="2" xfId="0" applyFill="1" applyBorder="1" applyProtection="1">
      <protection locked="0"/>
    </xf>
    <xf numFmtId="0" fontId="3" fillId="6" borderId="4" xfId="0" applyFont="1" applyFill="1" applyBorder="1" applyProtection="1">
      <protection locked="0"/>
    </xf>
    <xf numFmtId="2" fontId="3" fillId="6" borderId="4" xfId="0" applyNumberFormat="1" applyFont="1" applyFill="1" applyBorder="1" applyProtection="1">
      <protection locked="0"/>
    </xf>
    <xf numFmtId="165" fontId="6" fillId="6" borderId="9" xfId="0" applyNumberFormat="1" applyFont="1" applyFill="1" applyBorder="1" applyAlignment="1" applyProtection="1">
      <alignment horizontal="right"/>
      <protection locked="0"/>
    </xf>
    <xf numFmtId="10" fontId="7" fillId="6" borderId="10" xfId="0" applyNumberFormat="1" applyFont="1" applyFill="1" applyBorder="1" applyAlignment="1" applyProtection="1">
      <alignment horizontal="right"/>
      <protection locked="0"/>
    </xf>
    <xf numFmtId="10" fontId="6" fillId="6" borderId="11" xfId="0" applyNumberFormat="1" applyFont="1" applyFill="1" applyBorder="1" applyAlignment="1" applyProtection="1">
      <alignment horizontal="right"/>
      <protection locked="0"/>
    </xf>
    <xf numFmtId="2" fontId="11" fillId="6" borderId="0" xfId="0" applyNumberFormat="1" applyFont="1" applyFill="1" applyProtection="1">
      <protection locked="0"/>
    </xf>
    <xf numFmtId="0" fontId="8" fillId="6" borderId="5" xfId="0" applyFont="1" applyFill="1" applyBorder="1" applyProtection="1">
      <protection locked="0"/>
    </xf>
    <xf numFmtId="0" fontId="8" fillId="6" borderId="2" xfId="0" applyFont="1" applyFill="1" applyBorder="1" applyProtection="1">
      <protection locked="0"/>
    </xf>
    <xf numFmtId="0" fontId="8" fillId="6" borderId="6" xfId="0" applyFont="1" applyFill="1" applyBorder="1" applyProtection="1">
      <protection locked="0"/>
    </xf>
    <xf numFmtId="10" fontId="2" fillId="6" borderId="0" xfId="0" applyNumberFormat="1" applyFont="1" applyFill="1" applyProtection="1">
      <protection locked="0"/>
    </xf>
    <xf numFmtId="0" fontId="6" fillId="6" borderId="0" xfId="0" applyFont="1" applyFill="1" applyProtection="1">
      <protection locked="0"/>
    </xf>
    <xf numFmtId="164" fontId="6" fillId="6" borderId="8" xfId="0" quotePrefix="1" applyNumberFormat="1" applyFont="1" applyFill="1" applyBorder="1" applyProtection="1">
      <protection locked="0"/>
    </xf>
    <xf numFmtId="0" fontId="11" fillId="6" borderId="0" xfId="0" applyFont="1" applyFill="1" applyProtection="1">
      <protection locked="0"/>
    </xf>
    <xf numFmtId="167" fontId="0" fillId="6" borderId="0" xfId="0" applyNumberFormat="1" applyFill="1" applyProtection="1">
      <protection locked="0"/>
    </xf>
    <xf numFmtId="0" fontId="6" fillId="6" borderId="12" xfId="0" applyFont="1" applyFill="1" applyBorder="1" applyProtection="1">
      <protection locked="0"/>
    </xf>
    <xf numFmtId="0" fontId="6" fillId="6" borderId="13" xfId="0" applyFont="1" applyFill="1" applyBorder="1" applyProtection="1">
      <protection locked="0"/>
    </xf>
    <xf numFmtId="0" fontId="6" fillId="6" borderId="14" xfId="0" applyFont="1" applyFill="1" applyBorder="1" applyProtection="1">
      <protection locked="0"/>
    </xf>
    <xf numFmtId="39" fontId="11" fillId="6" borderId="4" xfId="0" applyNumberFormat="1" applyFont="1" applyFill="1" applyBorder="1" applyProtection="1">
      <protection locked="0"/>
    </xf>
    <xf numFmtId="39" fontId="0" fillId="6" borderId="4" xfId="0" applyNumberFormat="1" applyFill="1" applyBorder="1" applyProtection="1">
      <protection locked="0"/>
    </xf>
    <xf numFmtId="164" fontId="6" fillId="6" borderId="14" xfId="2" applyNumberFormat="1" applyFont="1" applyFill="1" applyBorder="1" applyProtection="1">
      <protection locked="0"/>
    </xf>
    <xf numFmtId="0" fontId="3" fillId="6" borderId="0" xfId="0" applyFont="1" applyFill="1" applyProtection="1">
      <protection locked="0"/>
    </xf>
    <xf numFmtId="166" fontId="4" fillId="6" borderId="0" xfId="0" applyNumberFormat="1" applyFont="1" applyFill="1" applyProtection="1">
      <protection locked="0"/>
    </xf>
    <xf numFmtId="166" fontId="0" fillId="6" borderId="0" xfId="0" applyNumberFormat="1" applyFill="1" applyProtection="1">
      <protection locked="0"/>
    </xf>
    <xf numFmtId="0" fontId="0" fillId="6" borderId="6" xfId="0" applyFill="1" applyBorder="1" applyProtection="1">
      <protection locked="0"/>
    </xf>
    <xf numFmtId="0" fontId="8" fillId="6" borderId="7" xfId="0" applyFont="1" applyFill="1" applyBorder="1" applyProtection="1">
      <protection locked="0"/>
    </xf>
    <xf numFmtId="0" fontId="0" fillId="6" borderId="0" xfId="1" applyNumberFormat="1" applyFont="1" applyFill="1" applyProtection="1">
      <protection locked="0"/>
    </xf>
    <xf numFmtId="166" fontId="0" fillId="6" borderId="0" xfId="1" applyNumberFormat="1" applyFont="1" applyFill="1" applyProtection="1">
      <protection locked="0"/>
    </xf>
    <xf numFmtId="0" fontId="0" fillId="8" borderId="16" xfId="1" applyNumberFormat="1" applyFont="1" applyFill="1" applyBorder="1" applyProtection="1">
      <protection locked="0"/>
    </xf>
    <xf numFmtId="0" fontId="0" fillId="6" borderId="18" xfId="1" applyNumberFormat="1" applyFont="1" applyFill="1" applyBorder="1" applyProtection="1">
      <protection locked="0"/>
    </xf>
    <xf numFmtId="0" fontId="0" fillId="6" borderId="4" xfId="1" applyNumberFormat="1" applyFont="1" applyFill="1" applyBorder="1" applyProtection="1">
      <protection locked="0"/>
    </xf>
    <xf numFmtId="166" fontId="0" fillId="6" borderId="4" xfId="1" applyNumberFormat="1" applyFont="1" applyFill="1" applyBorder="1" applyProtection="1">
      <protection locked="0"/>
    </xf>
    <xf numFmtId="0" fontId="0" fillId="8" borderId="7" xfId="1" applyNumberFormat="1" applyFont="1" applyFill="1" applyBorder="1" applyProtection="1">
      <protection locked="0"/>
    </xf>
    <xf numFmtId="171" fontId="0" fillId="0" borderId="0" xfId="0" applyNumberFormat="1" applyProtection="1">
      <protection locked="0"/>
    </xf>
    <xf numFmtId="10" fontId="9" fillId="6" borderId="8" xfId="0" applyNumberFormat="1" applyFont="1" applyFill="1" applyBorder="1" applyProtection="1">
      <protection locked="0"/>
    </xf>
    <xf numFmtId="0" fontId="3" fillId="6" borderId="0" xfId="1" applyNumberFormat="1" applyFont="1" applyFill="1" applyProtection="1">
      <protection locked="0"/>
    </xf>
    <xf numFmtId="164" fontId="0" fillId="0" borderId="0" xfId="0" applyNumberFormat="1" applyProtection="1">
      <protection locked="0"/>
    </xf>
    <xf numFmtId="0" fontId="8" fillId="6" borderId="9" xfId="0" applyFont="1" applyFill="1" applyBorder="1" applyProtection="1">
      <protection locked="0"/>
    </xf>
    <xf numFmtId="0" fontId="0" fillId="6" borderId="10" xfId="0" applyFill="1" applyBorder="1" applyProtection="1">
      <protection locked="0"/>
    </xf>
    <xf numFmtId="10" fontId="9" fillId="6" borderId="11" xfId="0" applyNumberFormat="1" applyFont="1" applyFill="1" applyBorder="1" applyProtection="1">
      <protection locked="0"/>
    </xf>
    <xf numFmtId="0" fontId="0" fillId="8" borderId="12" xfId="1" applyNumberFormat="1" applyFont="1" applyFill="1" applyBorder="1" applyProtection="1">
      <protection locked="0"/>
    </xf>
    <xf numFmtId="164" fontId="0" fillId="0" borderId="17" xfId="1" applyNumberFormat="1" applyFont="1" applyFill="1" applyBorder="1" applyProtection="1">
      <protection locked="0"/>
    </xf>
    <xf numFmtId="0" fontId="0" fillId="0" borderId="0" xfId="1" applyNumberFormat="1" applyFont="1" applyProtection="1">
      <protection locked="0"/>
    </xf>
    <xf numFmtId="0" fontId="13" fillId="9" borderId="12" xfId="1" applyNumberFormat="1" applyFont="1" applyFill="1" applyBorder="1" applyProtection="1">
      <protection locked="0"/>
    </xf>
    <xf numFmtId="0" fontId="13" fillId="9" borderId="14" xfId="1" applyNumberFormat="1" applyFont="1" applyFill="1" applyBorder="1" applyProtection="1">
      <protection locked="0"/>
    </xf>
    <xf numFmtId="8" fontId="10" fillId="6" borderId="0" xfId="0" applyNumberFormat="1" applyFont="1" applyFill="1" applyProtection="1">
      <protection locked="0"/>
    </xf>
    <xf numFmtId="10" fontId="11" fillId="6" borderId="15" xfId="0" applyNumberFormat="1" applyFont="1" applyFill="1" applyBorder="1" applyProtection="1">
      <protection locked="0"/>
    </xf>
    <xf numFmtId="170" fontId="0" fillId="6" borderId="16" xfId="0" applyNumberFormat="1" applyFill="1" applyBorder="1" applyProtection="1">
      <protection locked="0"/>
    </xf>
    <xf numFmtId="170" fontId="0" fillId="6" borderId="2" xfId="0" applyNumberFormat="1" applyFill="1" applyBorder="1" applyProtection="1">
      <protection locked="0"/>
    </xf>
    <xf numFmtId="170" fontId="13" fillId="6" borderId="2" xfId="3" applyNumberFormat="1" applyFont="1" applyFill="1" applyBorder="1" applyProtection="1">
      <protection locked="0"/>
    </xf>
    <xf numFmtId="170" fontId="13" fillId="6" borderId="2" xfId="4" applyNumberFormat="1" applyFont="1" applyFill="1" applyBorder="1" applyProtection="1">
      <protection locked="0"/>
    </xf>
    <xf numFmtId="170" fontId="0" fillId="6" borderId="6" xfId="0" applyNumberFormat="1" applyFill="1" applyBorder="1" applyProtection="1">
      <protection locked="0"/>
    </xf>
    <xf numFmtId="170" fontId="0" fillId="6" borderId="7" xfId="0" applyNumberFormat="1" applyFill="1" applyBorder="1" applyProtection="1">
      <protection locked="0"/>
    </xf>
    <xf numFmtId="170" fontId="0" fillId="6" borderId="0" xfId="0" applyNumberFormat="1" applyFill="1" applyProtection="1">
      <protection locked="0"/>
    </xf>
    <xf numFmtId="170" fontId="16" fillId="6" borderId="16" xfId="5" applyNumberFormat="1" applyFont="1" applyFill="1" applyBorder="1" applyProtection="1">
      <protection locked="0"/>
    </xf>
    <xf numFmtId="170" fontId="16" fillId="6" borderId="2" xfId="5" applyNumberFormat="1" applyFont="1" applyFill="1" applyBorder="1" applyProtection="1">
      <protection locked="0"/>
    </xf>
    <xf numFmtId="170" fontId="13" fillId="6" borderId="6" xfId="3" applyNumberFormat="1" applyFont="1" applyFill="1" applyBorder="1" applyProtection="1">
      <protection locked="0"/>
    </xf>
    <xf numFmtId="170" fontId="0" fillId="6" borderId="8" xfId="0" applyNumberFormat="1" applyFill="1" applyBorder="1" applyProtection="1">
      <protection locked="0"/>
    </xf>
    <xf numFmtId="10" fontId="3" fillId="6" borderId="15" xfId="0" applyNumberFormat="1" applyFont="1" applyFill="1" applyBorder="1" applyProtection="1">
      <protection locked="0"/>
    </xf>
    <xf numFmtId="170" fontId="16" fillId="6" borderId="7" xfId="5" applyNumberFormat="1" applyFont="1" applyFill="1" applyBorder="1" applyProtection="1">
      <protection locked="0"/>
    </xf>
    <xf numFmtId="170" fontId="16" fillId="6" borderId="5" xfId="5" applyNumberFormat="1" applyFont="1" applyFill="1" applyBorder="1" applyProtection="1">
      <protection locked="0"/>
    </xf>
    <xf numFmtId="170" fontId="13" fillId="6" borderId="8" xfId="3" applyNumberFormat="1" applyFont="1" applyFill="1" applyBorder="1" applyProtection="1">
      <protection locked="0"/>
    </xf>
    <xf numFmtId="170" fontId="13" fillId="6" borderId="12" xfId="3" applyNumberFormat="1" applyFont="1" applyFill="1" applyBorder="1" applyProtection="1">
      <protection locked="0"/>
    </xf>
    <xf numFmtId="170" fontId="13" fillId="6" borderId="13" xfId="3" applyNumberFormat="1" applyFont="1" applyFill="1" applyBorder="1" applyProtection="1">
      <protection locked="0"/>
    </xf>
    <xf numFmtId="170" fontId="13" fillId="6" borderId="14" xfId="4" applyNumberFormat="1" applyFont="1" applyFill="1" applyBorder="1" applyProtection="1">
      <protection locked="0"/>
    </xf>
    <xf numFmtId="170" fontId="0" fillId="6" borderId="12" xfId="0" applyNumberFormat="1" applyFill="1" applyBorder="1" applyProtection="1">
      <protection locked="0"/>
    </xf>
    <xf numFmtId="170" fontId="0" fillId="6" borderId="13" xfId="0" applyNumberFormat="1" applyFill="1" applyBorder="1" applyProtection="1">
      <protection locked="0"/>
    </xf>
    <xf numFmtId="170" fontId="0" fillId="6" borderId="14" xfId="0" applyNumberFormat="1" applyFill="1" applyBorder="1" applyProtection="1">
      <protection locked="0"/>
    </xf>
    <xf numFmtId="168" fontId="10" fillId="6" borderId="0" xfId="0" applyNumberFormat="1" applyFont="1" applyFill="1" applyProtection="1">
      <protection locked="0"/>
    </xf>
    <xf numFmtId="164" fontId="11" fillId="6" borderId="0" xfId="0" applyNumberFormat="1" applyFont="1" applyFill="1" applyProtection="1">
      <protection locked="0"/>
    </xf>
    <xf numFmtId="164" fontId="3" fillId="6" borderId="0" xfId="0" applyNumberFormat="1" applyFont="1" applyFill="1" applyProtection="1">
      <protection locked="0"/>
    </xf>
    <xf numFmtId="10" fontId="11" fillId="6" borderId="0" xfId="0" applyNumberFormat="1" applyFont="1" applyFill="1" applyProtection="1">
      <protection locked="0"/>
    </xf>
    <xf numFmtId="168" fontId="13" fillId="6" borderId="0" xfId="3" applyNumberFormat="1" applyFont="1" applyFill="1" applyBorder="1" applyProtection="1">
      <protection locked="0"/>
    </xf>
    <xf numFmtId="168" fontId="13" fillId="6" borderId="0" xfId="4" applyNumberFormat="1" applyFont="1" applyFill="1" applyBorder="1" applyProtection="1">
      <protection locked="0"/>
    </xf>
    <xf numFmtId="168" fontId="16" fillId="6" borderId="0" xfId="5" applyNumberFormat="1" applyFont="1" applyFill="1" applyBorder="1" applyProtection="1">
      <protection locked="0"/>
    </xf>
    <xf numFmtId="10" fontId="3" fillId="6" borderId="0" xfId="0" applyNumberFormat="1" applyFont="1" applyFill="1" applyProtection="1">
      <protection locked="0"/>
    </xf>
    <xf numFmtId="164" fontId="0" fillId="0" borderId="0" xfId="1" applyNumberFormat="1" applyFont="1" applyFill="1" applyBorder="1" applyProtection="1">
      <protection locked="0"/>
    </xf>
    <xf numFmtId="167" fontId="22" fillId="0" borderId="0" xfId="0" applyNumberFormat="1" applyFont="1" applyProtection="1">
      <protection locked="0"/>
    </xf>
    <xf numFmtId="169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0" fontId="0" fillId="0" borderId="0" xfId="1" applyNumberFormat="1" applyFont="1" applyFill="1" applyBorder="1" applyProtection="1">
      <protection locked="0"/>
    </xf>
    <xf numFmtId="168" fontId="0" fillId="0" borderId="0" xfId="1" applyNumberFormat="1" applyFont="1" applyFill="1" applyBorder="1" applyProtection="1">
      <protection locked="0"/>
    </xf>
    <xf numFmtId="9" fontId="0" fillId="0" borderId="0" xfId="0" applyNumberFormat="1" applyProtection="1">
      <protection locked="0"/>
    </xf>
    <xf numFmtId="164" fontId="21" fillId="0" borderId="0" xfId="1" applyNumberFormat="1" applyFont="1" applyFill="1" applyBorder="1" applyProtection="1">
      <protection locked="0"/>
    </xf>
    <xf numFmtId="2" fontId="11" fillId="0" borderId="0" xfId="0" applyNumberFormat="1" applyFont="1" applyProtection="1">
      <protection locked="0"/>
    </xf>
    <xf numFmtId="10" fontId="5" fillId="6" borderId="8" xfId="0" applyNumberFormat="1" applyFont="1" applyFill="1" applyBorder="1" applyAlignment="1" applyProtection="1">
      <alignment horizontal="right"/>
      <protection locked="0"/>
    </xf>
    <xf numFmtId="10" fontId="0" fillId="6" borderId="21" xfId="0" applyNumberFormat="1" applyFill="1" applyBorder="1" applyProtection="1">
      <protection locked="0"/>
    </xf>
    <xf numFmtId="164" fontId="9" fillId="6" borderId="8" xfId="0" applyNumberFormat="1" applyFont="1" applyFill="1" applyBorder="1" applyProtection="1">
      <protection locked="0"/>
    </xf>
    <xf numFmtId="164" fontId="6" fillId="6" borderId="8" xfId="0" applyNumberFormat="1" applyFont="1" applyFill="1" applyBorder="1" applyProtection="1">
      <protection locked="0"/>
    </xf>
    <xf numFmtId="168" fontId="6" fillId="6" borderId="8" xfId="1" applyNumberFormat="1" applyFont="1" applyFill="1" applyBorder="1" applyProtection="1">
      <protection locked="0"/>
    </xf>
    <xf numFmtId="168" fontId="0" fillId="6" borderId="19" xfId="1" applyNumberFormat="1" applyFont="1" applyFill="1" applyBorder="1" applyProtection="1">
      <protection locked="0"/>
    </xf>
    <xf numFmtId="168" fontId="0" fillId="6" borderId="20" xfId="1" applyNumberFormat="1" applyFont="1" applyFill="1" applyBorder="1" applyProtection="1">
      <protection locked="0"/>
    </xf>
    <xf numFmtId="10" fontId="3" fillId="6" borderId="2" xfId="0" applyNumberFormat="1" applyFont="1" applyFill="1" applyBorder="1" applyProtection="1">
      <protection locked="0"/>
    </xf>
    <xf numFmtId="10" fontId="11" fillId="6" borderId="2" xfId="0" applyNumberFormat="1" applyFont="1" applyFill="1" applyBorder="1" applyProtection="1">
      <protection locked="0"/>
    </xf>
  </cellXfs>
  <cellStyles count="6">
    <cellStyle name="Bad" xfId="3" builtinId="27"/>
    <cellStyle name="Calculation" xfId="5" builtinId="22"/>
    <cellStyle name="Currency" xfId="1" builtinId="4"/>
    <cellStyle name="Neutral" xfId="4" builtinId="28"/>
    <cellStyle name="Normal" xfId="0" builtinId="0"/>
    <cellStyle name="Percent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E01400"/>
      <color rgb="FFF9696A"/>
      <color rgb="FFFFFFA3"/>
      <color rgb="FFFFFF88"/>
      <color rgb="FFFFFF00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8A6C-9237-6A4E-9CB3-E9789FECB540}">
  <dimension ref="A1:AL53"/>
  <sheetViews>
    <sheetView tabSelected="1" zoomScale="125" zoomScaleNormal="70" workbookViewId="0">
      <selection activeCell="D11" sqref="D11"/>
    </sheetView>
  </sheetViews>
  <sheetFormatPr baseColWidth="10" defaultColWidth="11" defaultRowHeight="16" x14ac:dyDescent="0.2"/>
  <cols>
    <col min="1" max="1" width="15.1640625" style="3" customWidth="1"/>
    <col min="2" max="2" width="11" style="3"/>
    <col min="3" max="3" width="17.1640625" style="3" bestFit="1" customWidth="1"/>
    <col min="4" max="4" width="13" style="1" bestFit="1" customWidth="1"/>
    <col min="5" max="5" width="11" style="3"/>
    <col min="6" max="6" width="11.1640625" style="3" bestFit="1" customWidth="1"/>
    <col min="7" max="7" width="11.5" style="3" bestFit="1" customWidth="1"/>
    <col min="8" max="8" width="11.6640625" style="3" bestFit="1" customWidth="1"/>
    <col min="9" max="9" width="17.33203125" style="3" bestFit="1" customWidth="1"/>
    <col min="10" max="10" width="16.33203125" style="3" bestFit="1" customWidth="1"/>
    <col min="11" max="12" width="11.1640625" style="3" bestFit="1" customWidth="1"/>
    <col min="13" max="13" width="13.33203125" style="3" bestFit="1" customWidth="1"/>
    <col min="14" max="14" width="13.6640625" style="3" customWidth="1"/>
    <col min="15" max="21" width="11" style="3"/>
    <col min="22" max="22" width="12.6640625" style="3" bestFit="1" customWidth="1"/>
    <col min="23" max="16384" width="11" style="3"/>
  </cols>
  <sheetData>
    <row r="1" spans="1:38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8" x14ac:dyDescent="0.2">
      <c r="A2" s="1"/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8" x14ac:dyDescent="0.2">
      <c r="A3" s="1"/>
      <c r="B3" s="4"/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38" x14ac:dyDescent="0.2">
      <c r="A4" s="1"/>
      <c r="B4" s="1"/>
      <c r="C4" s="1"/>
      <c r="E4" s="1" t="s">
        <v>53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38" ht="17" thickBot="1" x14ac:dyDescent="0.25">
      <c r="C5" s="1"/>
      <c r="E5" s="6" t="s">
        <v>54</v>
      </c>
      <c r="F5" s="6"/>
      <c r="G5" s="7" t="s">
        <v>1</v>
      </c>
      <c r="H5" s="7" t="s">
        <v>2</v>
      </c>
      <c r="I5" s="8" t="s">
        <v>51</v>
      </c>
      <c r="J5" s="8" t="s">
        <v>3</v>
      </c>
      <c r="K5" s="8" t="s">
        <v>4</v>
      </c>
      <c r="L5" s="8" t="s">
        <v>5</v>
      </c>
      <c r="M5" s="8" t="s">
        <v>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38" ht="17" thickBot="1" x14ac:dyDescent="0.25">
      <c r="A6" s="5" t="s">
        <v>8</v>
      </c>
      <c r="B6" s="123">
        <f>C28</f>
        <v>8.0447576694555586E-2</v>
      </c>
      <c r="C6" s="1"/>
      <c r="E6" s="11" t="s">
        <v>7</v>
      </c>
      <c r="F6" s="11"/>
      <c r="G6" s="12">
        <v>-2</v>
      </c>
      <c r="H6" s="12">
        <v>-1</v>
      </c>
      <c r="I6" s="12">
        <v>1</v>
      </c>
      <c r="J6" s="12">
        <v>2</v>
      </c>
      <c r="K6" s="12">
        <v>3</v>
      </c>
      <c r="L6" s="12">
        <v>4</v>
      </c>
      <c r="M6" s="12">
        <v>5</v>
      </c>
      <c r="N6" s="1"/>
    </row>
    <row r="7" spans="1:38" ht="17" thickTop="1" x14ac:dyDescent="0.2">
      <c r="A7" s="9" t="s">
        <v>43</v>
      </c>
      <c r="B7" s="10">
        <v>1.4999999999999999E-2</v>
      </c>
      <c r="C7" s="1"/>
      <c r="D7" s="15"/>
      <c r="N7" s="1"/>
    </row>
    <row r="8" spans="1:38" ht="17" thickBot="1" x14ac:dyDescent="0.25">
      <c r="A8" s="13" t="s">
        <v>10</v>
      </c>
      <c r="B8" s="14">
        <v>0.02</v>
      </c>
      <c r="C8" s="1"/>
      <c r="D8" s="15"/>
      <c r="E8" s="16" t="s">
        <v>9</v>
      </c>
      <c r="F8" s="16"/>
      <c r="G8" s="17">
        <v>342.7</v>
      </c>
      <c r="H8" s="17">
        <v>361.1</v>
      </c>
      <c r="I8" s="18">
        <f>H8*(1+I9)</f>
        <v>357.48900000000003</v>
      </c>
      <c r="J8" s="18">
        <f>I8*(1+J9)</f>
        <v>364.63878000000005</v>
      </c>
      <c r="K8" s="18">
        <f>J8*(1+K9)</f>
        <v>373.7547495</v>
      </c>
      <c r="L8" s="18">
        <f>K8*(1+L9)</f>
        <v>384.96739198500001</v>
      </c>
      <c r="M8" s="18">
        <f>L8*(1+M9)</f>
        <v>398.44125070447495</v>
      </c>
      <c r="N8" s="1"/>
      <c r="AL8" s="19">
        <v>2.5000000000000001E-2</v>
      </c>
    </row>
    <row r="9" spans="1:38" x14ac:dyDescent="0.2">
      <c r="A9" s="1"/>
      <c r="B9" s="1"/>
      <c r="C9" s="1"/>
      <c r="D9" s="20"/>
      <c r="E9" s="1" t="s">
        <v>11</v>
      </c>
      <c r="F9" s="1"/>
      <c r="G9" s="21"/>
      <c r="H9" s="22">
        <f>(H8-G8)/G8</f>
        <v>5.3691275167785338E-2</v>
      </c>
      <c r="I9" s="23">
        <v>-0.01</v>
      </c>
      <c r="J9" s="23">
        <v>0.02</v>
      </c>
      <c r="K9" s="23">
        <v>2.5000000000000001E-2</v>
      </c>
      <c r="L9" s="23">
        <v>0.03</v>
      </c>
      <c r="M9" s="23">
        <v>3.5000000000000003E-2</v>
      </c>
      <c r="N9" s="1"/>
      <c r="AL9" s="3">
        <v>5</v>
      </c>
    </row>
    <row r="10" spans="1:38" x14ac:dyDescent="0.2">
      <c r="B10" s="1"/>
      <c r="C10" s="24"/>
      <c r="D10" s="24"/>
      <c r="E10" s="1" t="s">
        <v>12</v>
      </c>
      <c r="F10" s="1"/>
      <c r="G10" s="3">
        <v>49</v>
      </c>
      <c r="H10" s="25">
        <v>42</v>
      </c>
      <c r="I10" s="26">
        <f>I8*(I11)</f>
        <v>48.261015000000008</v>
      </c>
      <c r="J10" s="26">
        <f>J8*(J11)</f>
        <v>50.13783225000001</v>
      </c>
      <c r="K10" s="26">
        <f>K8*(K11)</f>
        <v>52.325664930000002</v>
      </c>
      <c r="L10" s="26">
        <f>L8*(L11)</f>
        <v>54.857853357862496</v>
      </c>
      <c r="M10" s="26">
        <f>M8*(M11)</f>
        <v>57.773981352148866</v>
      </c>
      <c r="N10" s="1"/>
      <c r="P10" s="114"/>
      <c r="Q10" s="114"/>
      <c r="R10" s="114"/>
      <c r="S10" s="114"/>
      <c r="T10" s="114"/>
      <c r="U10" s="114"/>
      <c r="V10" s="115"/>
      <c r="W10" s="115"/>
      <c r="AL10" s="3">
        <f>AJ30</f>
        <v>0</v>
      </c>
    </row>
    <row r="11" spans="1:38" x14ac:dyDescent="0.2">
      <c r="A11" s="1"/>
      <c r="B11" s="1"/>
      <c r="C11" s="1"/>
      <c r="E11" s="1" t="s">
        <v>13</v>
      </c>
      <c r="F11" s="1"/>
      <c r="G11" s="27">
        <f>G10/G8</f>
        <v>0.14298220017508026</v>
      </c>
      <c r="H11" s="27">
        <f>H10/H8</f>
        <v>0.11631127111603433</v>
      </c>
      <c r="I11" s="47">
        <v>0.13500000000000001</v>
      </c>
      <c r="J11" s="47">
        <v>0.13750000000000001</v>
      </c>
      <c r="K11" s="47">
        <v>0.14000000000000001</v>
      </c>
      <c r="L11" s="47">
        <v>0.14249999999999999</v>
      </c>
      <c r="M11" s="47">
        <v>0.14499999999999999</v>
      </c>
      <c r="N11" s="1"/>
      <c r="P11" s="114"/>
      <c r="Q11" s="114"/>
      <c r="R11" s="114"/>
      <c r="S11" s="114"/>
      <c r="T11" s="114"/>
      <c r="U11" s="114"/>
      <c r="V11" s="115"/>
      <c r="W11" s="115"/>
    </row>
    <row r="12" spans="1:38" x14ac:dyDescent="0.2">
      <c r="A12" s="28" t="s">
        <v>46</v>
      </c>
      <c r="B12" s="29"/>
      <c r="C12" s="30"/>
      <c r="E12" s="1" t="s">
        <v>14</v>
      </c>
      <c r="F12" s="1"/>
      <c r="G12" s="36">
        <v>9.1999999999999993</v>
      </c>
      <c r="H12" s="36">
        <v>7.1</v>
      </c>
      <c r="I12" s="121">
        <f>I10*I13</f>
        <v>9.5074199550000014</v>
      </c>
      <c r="J12" s="121">
        <f t="shared" ref="J12:M12" si="0">J10*J13</f>
        <v>9.8771529532500022</v>
      </c>
      <c r="K12" s="121">
        <f t="shared" si="0"/>
        <v>10.30815599121</v>
      </c>
      <c r="L12" s="121">
        <f t="shared" si="0"/>
        <v>10.806997111498912</v>
      </c>
      <c r="M12" s="121">
        <f t="shared" si="0"/>
        <v>11.381474326373327</v>
      </c>
      <c r="N12" s="1"/>
      <c r="P12" s="114"/>
      <c r="Q12" s="114"/>
      <c r="R12" s="114"/>
      <c r="S12" s="114"/>
      <c r="T12" s="114"/>
      <c r="U12" s="114"/>
      <c r="V12" s="115"/>
      <c r="W12" s="115"/>
    </row>
    <row r="13" spans="1:38" x14ac:dyDescent="0.2">
      <c r="A13" s="31" t="s">
        <v>15</v>
      </c>
      <c r="B13" s="32"/>
      <c r="C13" s="33">
        <v>0.42</v>
      </c>
      <c r="E13" s="1" t="s">
        <v>45</v>
      </c>
      <c r="F13" s="1"/>
      <c r="G13" s="22">
        <f>G12/G10</f>
        <v>0.1877551020408163</v>
      </c>
      <c r="H13" s="22">
        <f>H12/H10</f>
        <v>0.16904761904761903</v>
      </c>
      <c r="I13" s="23">
        <v>0.19700000000000001</v>
      </c>
      <c r="J13" s="23">
        <v>0.19700000000000001</v>
      </c>
      <c r="K13" s="23">
        <v>0.19700000000000001</v>
      </c>
      <c r="L13" s="23">
        <v>0.19700000000000001</v>
      </c>
      <c r="M13" s="23">
        <v>0.19700000000000001</v>
      </c>
      <c r="N13" s="1"/>
    </row>
    <row r="14" spans="1:38" ht="17" thickBot="1" x14ac:dyDescent="0.25">
      <c r="A14" s="34" t="s">
        <v>50</v>
      </c>
      <c r="B14" s="1"/>
      <c r="C14" s="35">
        <f>(2/3*C13)+(1/3*1)</f>
        <v>0.61333333333333329</v>
      </c>
      <c r="E14" s="38" t="s">
        <v>16</v>
      </c>
      <c r="F14" s="16"/>
      <c r="G14" s="39">
        <f>G10-G12</f>
        <v>39.799999999999997</v>
      </c>
      <c r="H14" s="39">
        <f t="shared" ref="H14:M14" si="1">H10-H12</f>
        <v>34.9</v>
      </c>
      <c r="I14" s="39">
        <f t="shared" si="1"/>
        <v>38.753595045000004</v>
      </c>
      <c r="J14" s="39">
        <f t="shared" si="1"/>
        <v>40.260679296750006</v>
      </c>
      <c r="K14" s="39">
        <f t="shared" si="1"/>
        <v>42.017508938790002</v>
      </c>
      <c r="L14" s="39">
        <f t="shared" si="1"/>
        <v>44.05085624636358</v>
      </c>
      <c r="M14" s="39">
        <f t="shared" si="1"/>
        <v>46.392507025775537</v>
      </c>
      <c r="N14" s="1"/>
      <c r="V14" s="115"/>
      <c r="W14" s="115"/>
    </row>
    <row r="15" spans="1:38" x14ac:dyDescent="0.2">
      <c r="A15" s="31" t="s">
        <v>17</v>
      </c>
      <c r="B15" s="32"/>
      <c r="C15" s="122">
        <v>5.1400000000000001E-2</v>
      </c>
      <c r="E15" s="1" t="s">
        <v>18</v>
      </c>
      <c r="F15" s="1"/>
      <c r="G15" s="43">
        <v>12.5</v>
      </c>
      <c r="H15" s="43">
        <v>13.3</v>
      </c>
      <c r="I15" s="43">
        <f>I16*I8</f>
        <v>16.9807275</v>
      </c>
      <c r="J15" s="43">
        <f>J16*J8</f>
        <v>17.320342050000004</v>
      </c>
      <c r="K15" s="43">
        <f>K16*K8</f>
        <v>17.753350601250002</v>
      </c>
      <c r="L15" s="43">
        <f>L16*L8</f>
        <v>18.2859511192875</v>
      </c>
      <c r="M15" s="43">
        <f>M16*M8</f>
        <v>18.92595940846256</v>
      </c>
      <c r="N15" s="1"/>
      <c r="V15" s="115"/>
      <c r="W15" s="115"/>
    </row>
    <row r="16" spans="1:38" x14ac:dyDescent="0.2">
      <c r="A16" s="31" t="s">
        <v>19</v>
      </c>
      <c r="B16" s="32"/>
      <c r="C16" s="122">
        <f>C15+5%</f>
        <v>0.1014</v>
      </c>
      <c r="E16" s="1" t="s">
        <v>20</v>
      </c>
      <c r="F16" s="1"/>
      <c r="G16" s="27">
        <v>4.2000000000000003E-2</v>
      </c>
      <c r="H16" s="27">
        <v>4.9000000000000002E-2</v>
      </c>
      <c r="I16" s="47">
        <v>4.7500000000000001E-2</v>
      </c>
      <c r="J16" s="47">
        <v>4.7500000000000001E-2</v>
      </c>
      <c r="K16" s="47">
        <v>4.7500000000000001E-2</v>
      </c>
      <c r="L16" s="47">
        <v>4.7500000000000001E-2</v>
      </c>
      <c r="M16" s="47">
        <v>4.7500000000000001E-2</v>
      </c>
      <c r="N16" s="1"/>
      <c r="V16" s="115"/>
      <c r="W16" s="115"/>
    </row>
    <row r="17" spans="1:38" x14ac:dyDescent="0.2">
      <c r="A17" s="40" t="s">
        <v>21</v>
      </c>
      <c r="B17" s="41"/>
      <c r="C17" s="42">
        <f>C15+C14*(C16-C15)</f>
        <v>8.2066666666666663E-2</v>
      </c>
      <c r="D17" s="1" t="s">
        <v>44</v>
      </c>
      <c r="E17" s="1" t="s">
        <v>22</v>
      </c>
      <c r="F17" s="1"/>
      <c r="G17" s="50">
        <v>1.4</v>
      </c>
      <c r="H17" s="50">
        <v>1.5</v>
      </c>
      <c r="I17" s="26">
        <f>I8*(I18)</f>
        <v>1.9661895</v>
      </c>
      <c r="J17" s="26">
        <f>J8*(J18)</f>
        <v>2.1878326800000005</v>
      </c>
      <c r="K17" s="26">
        <f>K8*(K18)</f>
        <v>2.4294058717499998</v>
      </c>
      <c r="L17" s="26">
        <f>L8*(L18)</f>
        <v>2.6947717438950001</v>
      </c>
      <c r="M17" s="26">
        <f>M8*(M18)</f>
        <v>3.1875300056357996</v>
      </c>
      <c r="N17" s="1"/>
      <c r="V17" s="115"/>
      <c r="W17" s="115"/>
    </row>
    <row r="18" spans="1:38" x14ac:dyDescent="0.2">
      <c r="A18" s="44" t="s">
        <v>47</v>
      </c>
      <c r="B18" s="45"/>
      <c r="C18" s="46"/>
      <c r="E18" s="1" t="s">
        <v>20</v>
      </c>
      <c r="F18" s="1"/>
      <c r="G18" s="22">
        <f>G17/G8</f>
        <v>4.0852057192880065E-3</v>
      </c>
      <c r="H18" s="22">
        <f>H17/H8</f>
        <v>4.1539739684297973E-3</v>
      </c>
      <c r="I18" s="47">
        <v>5.4999999999999997E-3</v>
      </c>
      <c r="J18" s="47">
        <v>6.0000000000000001E-3</v>
      </c>
      <c r="K18" s="47">
        <v>6.4999999999999997E-3</v>
      </c>
      <c r="L18" s="47">
        <v>7.0000000000000001E-3</v>
      </c>
      <c r="M18" s="47">
        <v>8.0000000000000002E-3</v>
      </c>
      <c r="N18" s="1"/>
      <c r="V18" s="115"/>
      <c r="W18" s="115"/>
    </row>
    <row r="19" spans="1:38" ht="17" thickBot="1" x14ac:dyDescent="0.25">
      <c r="A19" s="34" t="s">
        <v>23</v>
      </c>
      <c r="B19" s="48"/>
      <c r="C19" s="49">
        <v>6.5000000000000002E-2</v>
      </c>
      <c r="D19" s="51"/>
      <c r="E19" s="16" t="s">
        <v>24</v>
      </c>
      <c r="F19" s="16"/>
      <c r="G19" s="55">
        <v>-5.6</v>
      </c>
      <c r="H19" s="55">
        <v>-23.3</v>
      </c>
      <c r="I19" s="56">
        <v>15</v>
      </c>
      <c r="J19" s="56">
        <v>-4</v>
      </c>
      <c r="K19" s="56">
        <v>-5</v>
      </c>
      <c r="L19" s="56">
        <v>-6</v>
      </c>
      <c r="M19" s="56">
        <v>3</v>
      </c>
      <c r="N19" s="1"/>
      <c r="V19" s="115"/>
      <c r="W19" s="115"/>
    </row>
    <row r="20" spans="1:38" x14ac:dyDescent="0.2">
      <c r="A20" s="34" t="s">
        <v>49</v>
      </c>
      <c r="B20" s="48"/>
      <c r="C20" s="125">
        <v>0.19700000000000001</v>
      </c>
      <c r="E20" s="58" t="s">
        <v>26</v>
      </c>
      <c r="F20" s="1"/>
      <c r="G20" s="59">
        <f>(G14+G15)-G17-G19</f>
        <v>56.5</v>
      </c>
      <c r="H20" s="59">
        <f>(H14+H15)-H17-H19</f>
        <v>70</v>
      </c>
      <c r="I20" s="60">
        <f>((I14+I15)-I17-(I19))*(1+B8)</f>
        <v>39.543495705900007</v>
      </c>
      <c r="J20" s="60">
        <f>((J14+J15)-J17-(J19))*(1+B8)</f>
        <v>60.58105244008501</v>
      </c>
      <c r="K20" s="60">
        <f>((K14+K15)-K17-(K19))*(1+B8)</f>
        <v>63.58828274165581</v>
      </c>
      <c r="L20" s="60">
        <f>((L14+L15)-L17-(L19))*(1+B8)</f>
        <v>66.954876334191198</v>
      </c>
      <c r="M20" s="60">
        <f>((M14+M15)-M17-(M19))*(1+B8)</f>
        <v>60.313555157174349</v>
      </c>
      <c r="N20" s="1"/>
      <c r="V20" s="116"/>
      <c r="W20" s="116"/>
    </row>
    <row r="21" spans="1:38" x14ac:dyDescent="0.2">
      <c r="A21" s="52"/>
      <c r="B21" s="53"/>
      <c r="C21" s="54"/>
      <c r="E21" s="1" t="s">
        <v>27</v>
      </c>
      <c r="F21" s="1"/>
      <c r="G21" s="1"/>
      <c r="H21" s="1"/>
      <c r="I21" s="51">
        <f>I20/(1+B6)^1</f>
        <v>36.599180338648694</v>
      </c>
      <c r="J21" s="51">
        <f>J20/(1+B6)^2</f>
        <v>51.895465783512932</v>
      </c>
      <c r="K21" s="51">
        <f>K20/(1+B6)^3</f>
        <v>50.415722726890841</v>
      </c>
      <c r="L21" s="51">
        <f>L20/(1+B6)^4</f>
        <v>49.132335998291985</v>
      </c>
      <c r="M21" s="51">
        <f>M20/(1+B6)^5</f>
        <v>40.963440878268031</v>
      </c>
      <c r="N21" s="1"/>
      <c r="V21" s="116"/>
      <c r="W21" s="116"/>
    </row>
    <row r="22" spans="1:38" ht="17" thickBot="1" x14ac:dyDescent="0.25">
      <c r="A22" s="52" t="s">
        <v>28</v>
      </c>
      <c r="B22" s="53"/>
      <c r="C22" s="57">
        <f>C19*(1-C20)</f>
        <v>5.2194999999999998E-2</v>
      </c>
      <c r="E22" s="63"/>
      <c r="F22" s="63"/>
      <c r="G22" s="63"/>
      <c r="H22" s="63"/>
      <c r="I22" s="63"/>
      <c r="J22" s="63"/>
      <c r="K22" s="63"/>
      <c r="L22" s="1"/>
      <c r="M22" s="1"/>
      <c r="N22" s="1"/>
      <c r="V22" s="116"/>
      <c r="W22" s="116"/>
    </row>
    <row r="23" spans="1:38" x14ac:dyDescent="0.2">
      <c r="A23" s="44" t="s">
        <v>8</v>
      </c>
      <c r="B23" s="37"/>
      <c r="C23" s="61"/>
      <c r="E23" s="63" t="s">
        <v>29</v>
      </c>
      <c r="F23" s="63"/>
      <c r="G23" s="64">
        <f>M20*(1+B7)/(B6-B7)</f>
        <v>935.37853617160044</v>
      </c>
      <c r="H23" s="63"/>
      <c r="I23" s="65" t="s">
        <v>30</v>
      </c>
      <c r="J23" s="66">
        <v>81.608000000000004</v>
      </c>
      <c r="K23" s="63"/>
      <c r="L23" s="1"/>
      <c r="M23" s="1"/>
      <c r="N23" s="1"/>
    </row>
    <row r="24" spans="1:38" ht="17" thickBot="1" x14ac:dyDescent="0.25">
      <c r="A24" s="62" t="s">
        <v>31</v>
      </c>
      <c r="B24" s="1"/>
      <c r="C24" s="126">
        <v>520000000</v>
      </c>
      <c r="E24" s="67" t="s">
        <v>32</v>
      </c>
      <c r="F24" s="67"/>
      <c r="G24" s="68">
        <f>G23/(1+B6)^5</f>
        <v>635.28543899320266</v>
      </c>
      <c r="H24" s="63"/>
      <c r="I24" s="69" t="s">
        <v>33</v>
      </c>
      <c r="J24" s="127">
        <f>G28/J23</f>
        <v>10.190935285873392</v>
      </c>
      <c r="K24" s="63"/>
      <c r="L24" s="1"/>
      <c r="M24" s="1"/>
      <c r="N24" s="1"/>
    </row>
    <row r="25" spans="1:38" ht="17" thickBot="1" x14ac:dyDescent="0.25">
      <c r="A25" s="62" t="s">
        <v>34</v>
      </c>
      <c r="B25" s="1"/>
      <c r="C25" s="126">
        <v>29800000</v>
      </c>
      <c r="E25" s="72" t="s">
        <v>35</v>
      </c>
      <c r="F25" s="63"/>
      <c r="G25" s="64" cm="1">
        <f t="array" ref="G25">SUMPRODUCT(I21:M21,1/(1+B6)^I6:M6) + G23/(1+B6)^5</f>
        <v>817.46184680955582</v>
      </c>
      <c r="H25" s="63"/>
      <c r="I25" s="69" t="s">
        <v>36</v>
      </c>
      <c r="J25" s="128">
        <v>6.3</v>
      </c>
      <c r="K25" s="63"/>
      <c r="L25" s="1"/>
      <c r="M25" s="1"/>
      <c r="N25" s="1"/>
      <c r="O25" s="117"/>
      <c r="P25" s="118"/>
      <c r="R25" s="117"/>
      <c r="S25" s="118"/>
      <c r="AJ25" s="19"/>
      <c r="AL25" s="70">
        <f>AJ25*(1-AJ26)</f>
        <v>0</v>
      </c>
    </row>
    <row r="26" spans="1:38" ht="17" thickBot="1" x14ac:dyDescent="0.25">
      <c r="A26" s="62" t="s">
        <v>25</v>
      </c>
      <c r="B26" s="1"/>
      <c r="C26" s="124">
        <v>0.19700000000000001</v>
      </c>
      <c r="E26" s="63" t="s">
        <v>37</v>
      </c>
      <c r="F26" s="63"/>
      <c r="G26" s="63">
        <v>44</v>
      </c>
      <c r="H26" s="63"/>
      <c r="I26" s="77" t="s">
        <v>38</v>
      </c>
      <c r="J26" s="78">
        <f>(J24-J25)/J25</f>
        <v>0.61760877553545912</v>
      </c>
      <c r="K26" s="79"/>
      <c r="L26" s="1"/>
      <c r="M26" s="1"/>
      <c r="N26" s="1"/>
      <c r="O26" s="117"/>
      <c r="P26" s="118"/>
      <c r="R26" s="117"/>
      <c r="S26" s="118"/>
      <c r="AJ26" s="119"/>
      <c r="AL26" s="73">
        <f>4.7%+(1.3*(9%-4.7%))</f>
        <v>0.10289999999999999</v>
      </c>
    </row>
    <row r="27" spans="1:38" ht="17" thickBot="1" x14ac:dyDescent="0.25">
      <c r="A27" s="62" t="s">
        <v>39</v>
      </c>
      <c r="B27" s="1"/>
      <c r="C27" s="71">
        <f>C17</f>
        <v>8.2066666666666663E-2</v>
      </c>
      <c r="E27" s="67" t="s">
        <v>40</v>
      </c>
      <c r="F27" s="67"/>
      <c r="G27" s="68">
        <v>29.8</v>
      </c>
      <c r="H27" s="63"/>
      <c r="I27" s="80" t="s">
        <v>52</v>
      </c>
      <c r="J27" s="81"/>
      <c r="K27" s="63"/>
      <c r="L27" s="1"/>
      <c r="M27" s="1"/>
      <c r="N27" s="1"/>
      <c r="O27" s="117"/>
      <c r="P27" s="113"/>
      <c r="R27" s="117"/>
      <c r="S27" s="120"/>
    </row>
    <row r="28" spans="1:38" x14ac:dyDescent="0.2">
      <c r="A28" s="74" t="s">
        <v>8</v>
      </c>
      <c r="B28" s="75"/>
      <c r="C28" s="76">
        <f>(C24/(C24+C25)*C27)+(C25/(C24+C25)*C22)</f>
        <v>8.0447576694555586E-2</v>
      </c>
      <c r="E28" s="63" t="s">
        <v>41</v>
      </c>
      <c r="F28" s="63"/>
      <c r="G28" s="64">
        <f>G25+G26-G27</f>
        <v>831.66184680955587</v>
      </c>
      <c r="H28" s="63"/>
      <c r="I28" s="63"/>
      <c r="J28" s="63"/>
      <c r="K28" s="63"/>
      <c r="L28" s="1"/>
      <c r="M28" s="1"/>
      <c r="N28" s="1"/>
    </row>
    <row r="29" spans="1:38" x14ac:dyDescent="0.2">
      <c r="A29" s="1"/>
      <c r="B29" s="1"/>
      <c r="C29" s="1"/>
      <c r="N29" s="1"/>
      <c r="AJ29" s="119"/>
    </row>
    <row r="30" spans="1:38" x14ac:dyDescent="0.2">
      <c r="A30" s="1"/>
      <c r="B30" s="1"/>
      <c r="C30" s="1"/>
      <c r="N30" s="1"/>
      <c r="AJ30" s="119"/>
    </row>
    <row r="31" spans="1:38" x14ac:dyDescent="0.2">
      <c r="A31" s="1"/>
      <c r="B31" s="1"/>
      <c r="C31" s="1"/>
      <c r="E31" s="63"/>
      <c r="F31" s="63"/>
      <c r="G31" s="63"/>
      <c r="H31" s="63"/>
      <c r="I31" s="63"/>
      <c r="J31" s="63"/>
      <c r="K31" s="6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38" x14ac:dyDescent="0.2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1"/>
      <c r="B33" s="1"/>
      <c r="C33" s="1"/>
      <c r="E33" s="1"/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1"/>
      <c r="B34" s="1"/>
      <c r="C34" s="1"/>
      <c r="E34" s="1"/>
      <c r="F34" s="1"/>
      <c r="G34" s="1"/>
      <c r="H34" s="58" t="s">
        <v>42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1"/>
      <c r="B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1"/>
      <c r="B36" s="1"/>
      <c r="C36" s="1"/>
      <c r="E36" s="1"/>
      <c r="F36" s="82">
        <f>J24</f>
        <v>10.190935285873392</v>
      </c>
      <c r="G36" s="130">
        <v>4.07E-2</v>
      </c>
      <c r="H36" s="130">
        <v>5.0700000000000002E-2</v>
      </c>
      <c r="I36" s="130">
        <v>6.0699999999999997E-2</v>
      </c>
      <c r="J36" s="129">
        <v>7.0699999999999999E-2</v>
      </c>
      <c r="K36" s="129">
        <v>8.0699999999999994E-2</v>
      </c>
      <c r="L36" s="129">
        <v>9.0700000000000003E-2</v>
      </c>
      <c r="M36" s="129">
        <v>0.1007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1"/>
      <c r="B37" s="1"/>
      <c r="C37" s="1"/>
      <c r="E37" s="58"/>
      <c r="F37" s="83">
        <v>5.0000000000000001E-3</v>
      </c>
      <c r="G37" s="84">
        <f t="dataTable" ref="G37:M41" dt2D="1" dtr="1" r1="B6" r2="B7"/>
        <v>20.003028946861111</v>
      </c>
      <c r="H37" s="85">
        <v>15.496455095905679</v>
      </c>
      <c r="I37" s="86">
        <v>12.592138413545859</v>
      </c>
      <c r="J37" s="86">
        <v>10.561193662531904</v>
      </c>
      <c r="K37" s="87">
        <v>9.0595326425324565</v>
      </c>
      <c r="L37" s="85">
        <v>7.9034045329236404</v>
      </c>
      <c r="M37" s="88">
        <v>6.9856579008622219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1"/>
      <c r="B38" s="1"/>
      <c r="C38" s="1"/>
      <c r="E38" s="1"/>
      <c r="F38" s="83">
        <v>0.01</v>
      </c>
      <c r="G38" s="89">
        <v>22.877403692417623</v>
      </c>
      <c r="H38" s="90">
        <v>17.126601686438367</v>
      </c>
      <c r="I38" s="91">
        <v>13.6258961396288</v>
      </c>
      <c r="J38" s="92">
        <v>11.266255042998459</v>
      </c>
      <c r="K38" s="93">
        <v>9.5657258336989681</v>
      </c>
      <c r="L38" s="90">
        <v>8.2809563711658303</v>
      </c>
      <c r="M38" s="94">
        <v>7.2756973740126041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1"/>
      <c r="B39" s="1"/>
      <c r="C39" s="1"/>
      <c r="E39" s="1" t="s">
        <v>43</v>
      </c>
      <c r="F39" s="95">
        <v>1.4999999999999999E-2</v>
      </c>
      <c r="G39" s="89">
        <v>26.870212191108955</v>
      </c>
      <c r="H39" s="90">
        <v>19.213371971798125</v>
      </c>
      <c r="I39" s="96">
        <v>14.885859057414786</v>
      </c>
      <c r="J39" s="97">
        <v>12.097898358916817</v>
      </c>
      <c r="K39" s="98">
        <v>10.148965172683821</v>
      </c>
      <c r="L39" s="90">
        <v>8.7083829568640532</v>
      </c>
      <c r="M39" s="94">
        <v>7.5995804262937199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1"/>
      <c r="B40" s="1"/>
      <c r="C40" s="1"/>
      <c r="E40" s="1"/>
      <c r="F40" s="83">
        <v>0.02</v>
      </c>
      <c r="G40" s="89">
        <v>32.791913684337167</v>
      </c>
      <c r="H40" s="90">
        <v>21.979871991802767</v>
      </c>
      <c r="I40" s="99">
        <v>16.455395173673988</v>
      </c>
      <c r="J40" s="100">
        <v>13.093573887047871</v>
      </c>
      <c r="K40" s="101">
        <v>10.828290069985785</v>
      </c>
      <c r="L40" s="90">
        <v>9.1962659196058745</v>
      </c>
      <c r="M40" s="94">
        <v>7.9635976857967847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1"/>
      <c r="B41" s="1"/>
      <c r="C41" s="1"/>
      <c r="E41" s="1"/>
      <c r="F41" s="83">
        <v>2.5000000000000001E-2</v>
      </c>
      <c r="G41" s="102">
        <v>42.485399568156595</v>
      </c>
      <c r="H41" s="103">
        <v>25.822831163560181</v>
      </c>
      <c r="I41" s="103">
        <v>18.464577260874144</v>
      </c>
      <c r="J41" s="103">
        <v>14.307121521990968</v>
      </c>
      <c r="K41" s="103">
        <v>11.629576349209106</v>
      </c>
      <c r="L41" s="103">
        <v>9.7584080852003297</v>
      </c>
      <c r="M41" s="104">
        <v>8.3757017695406759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"/>
      <c r="B42" s="1"/>
      <c r="C42" s="1"/>
      <c r="E42" s="1"/>
      <c r="F42" s="1"/>
      <c r="G42" s="1"/>
      <c r="H42" s="5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"/>
      <c r="B44" s="1"/>
      <c r="C44" s="1"/>
      <c r="E44" s="1"/>
      <c r="F44" s="105"/>
      <c r="G44" s="106"/>
      <c r="H44" s="106"/>
      <c r="I44" s="106"/>
      <c r="J44" s="107"/>
      <c r="K44" s="106"/>
      <c r="L44" s="106"/>
      <c r="M44" s="10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"/>
      <c r="B45" s="1"/>
      <c r="C45" s="1"/>
      <c r="E45" s="58"/>
      <c r="F45" s="108"/>
      <c r="G45" s="4"/>
      <c r="H45" s="4"/>
      <c r="I45" s="109"/>
      <c r="J45" s="109"/>
      <c r="K45" s="110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"/>
      <c r="B46" s="1"/>
      <c r="C46" s="1"/>
      <c r="E46" s="1"/>
      <c r="F46" s="108"/>
      <c r="G46" s="4"/>
      <c r="H46" s="4"/>
      <c r="I46" s="111"/>
      <c r="J46" s="111"/>
      <c r="K46" s="109"/>
      <c r="L46" s="4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"/>
      <c r="B47" s="1"/>
      <c r="C47" s="1"/>
      <c r="E47" s="1"/>
      <c r="F47" s="112"/>
      <c r="G47" s="4"/>
      <c r="H47" s="4"/>
      <c r="I47" s="111"/>
      <c r="J47" s="111"/>
      <c r="K47" s="109"/>
      <c r="L47" s="4"/>
      <c r="M47" s="4"/>
      <c r="N47" s="1"/>
    </row>
    <row r="48" spans="1:24" x14ac:dyDescent="0.2">
      <c r="A48" s="1"/>
      <c r="B48" s="1"/>
      <c r="C48" s="1"/>
      <c r="E48" s="1"/>
      <c r="F48" s="108"/>
      <c r="G48" s="4"/>
      <c r="H48" s="4"/>
      <c r="I48" s="109"/>
      <c r="J48" s="109"/>
      <c r="K48" s="110"/>
      <c r="L48" s="4"/>
      <c r="M48" s="4"/>
      <c r="N48" s="1"/>
    </row>
    <row r="49" spans="1:14" x14ac:dyDescent="0.2">
      <c r="A49" s="1"/>
      <c r="B49" s="1"/>
      <c r="C49" s="1"/>
      <c r="E49" s="1"/>
      <c r="F49" s="108"/>
      <c r="G49" s="4"/>
      <c r="H49" s="4"/>
      <c r="I49" s="4"/>
      <c r="J49" s="4"/>
      <c r="K49" s="4"/>
      <c r="L49" s="4"/>
      <c r="M49" s="4"/>
      <c r="N49" s="1"/>
    </row>
    <row r="50" spans="1:14" x14ac:dyDescent="0.2">
      <c r="A50" s="1"/>
      <c r="B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G5:M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7:M4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5:M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">
    <cfRule type="expression" dxfId="3" priority="9">
      <formula>$J$24&lt;$J$25</formula>
    </cfRule>
    <cfRule type="expression" dxfId="2" priority="10">
      <formula>$J$24&gt;$J$25</formula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7">
    <cfRule type="expression" dxfId="1" priority="24">
      <formula>$J$24&lt;$J$25</formula>
    </cfRule>
    <cfRule type="expression" dxfId="0" priority="25">
      <formula>$J$24&gt;$J$25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C6:M6 D26 D24 D25 D13 D12 D17 D14 D15 D23 D18 A10:F10 I10:M10 A11:F11 D21:D22 D20 A9:H9 C8:F8 I8:M8 C7:M7 A30:M35 D27 D28 D19 D16 A29:D29 A38:E38 A36:F36 A41:E41 A39:E39 G39:M39 A40:E40 G40:M40 G41:M41 A37:E37 G37:M37 G38:M38 C5:D5 F5:M5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B5F2-66B6-C843-8949-503376CE0C3F}">
  <dimension ref="A1"/>
  <sheetViews>
    <sheetView showFormulas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ESHAN SATTI</dc:creator>
  <cp:lastModifiedBy>ESHAN SATTI</cp:lastModifiedBy>
  <dcterms:created xsi:type="dcterms:W3CDTF">2026-05-04T17:08:44Z</dcterms:created>
  <dcterms:modified xsi:type="dcterms:W3CDTF">2026-09-03T19:20:23Z</dcterms:modified>
</cp:coreProperties>
</file>